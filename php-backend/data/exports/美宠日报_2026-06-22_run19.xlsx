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heet4" sheetId="1" r:id="rId4"/>
    <sheet name="Sheet1" sheetId="2" r:id="rId5"/>
    <sheet name="Sheet2" sheetId="3" r:id="rId6"/>
    <sheet name="Sheet3" sheetId="4" r:id="rId7"/>
  </sheets>
  <definedNames/>
  <calcPr calcId="999999" calcMode="auto" calcCompleted="1" fullCalcOnLoad="0" forceFullCalc="0"/>
</workbook>
</file>

<file path=xl/comments2.xml><?xml version="1.0" encoding="utf-8"?>
<comments xmlns="http://schemas.openxmlformats.org/spreadsheetml/2006/main">
  <authors>
    <author>Administrator</author>
  </authors>
  <commentList>
    <comment ref="F2" authorId="0">
      <text>
        <r>
          <rPr>
            <rFont val="宋体"/>
            <b val="true"/>
            <i val="false"/>
            <strike val="false"/>
            <color rgb="FF000000"/>
            <sz val="9"/>
            <u val="none"/>
          </rPr>
          <t xml:space="preserve">Administrator:</t>
        </r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
不含刷单的订单</t>
        </r>
      </text>
    </comment>
    <comment ref="G2" authorId="0">
      <text>
        <r>
          <rPr>
            <rFont val="宋体"/>
            <b val="true"/>
            <i val="false"/>
            <strike val="false"/>
            <color rgb="FF000000"/>
            <sz val="9"/>
            <u val="none"/>
          </rPr>
          <t xml:space="preserve">Administrator:</t>
        </r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
实际支付金额+平台折扣</t>
        </r>
      </text>
    </comment>
    <comment ref="H2" authorId="0">
      <text>
        <r>
          <rPr>
            <rFont val="宋体"/>
            <b val="true"/>
            <i val="false"/>
            <strike val="false"/>
            <color rgb="FF000000"/>
            <sz val="9"/>
            <u val="none"/>
          </rPr>
          <t xml:space="preserve">Administrator:</t>
        </r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
应支付金额-销售税</t>
        </r>
      </text>
    </comment>
    <comment ref="J2" authorId="0">
      <text>
        <r>
          <rPr>
            <rFont val="宋体"/>
            <b val="true"/>
            <i val="false"/>
            <strike val="false"/>
            <color rgb="FF000000"/>
            <sz val="9"/>
            <u val="none"/>
          </rPr>
          <t xml:space="preserve">Administrator:</t>
        </r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
含寄样品运费及成本
</t>
        </r>
      </text>
    </comment>
    <comment ref="R2" authorId="0">
      <text>
        <r>
          <rPr>
            <rFont val="宋体"/>
            <b val="true"/>
            <i val="false"/>
            <strike val="false"/>
            <color rgb="FF000000"/>
            <sz val="9"/>
            <u val="none"/>
          </rPr>
          <t xml:space="preserve">Administrator:</t>
        </r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
商务推广费用</t>
        </r>
      </text>
    </comment>
    <comment ref="T2" authorId="0">
      <text>
        <r>
          <rPr>
            <rFont val="宋体"/>
            <b val="true"/>
            <i val="false"/>
            <strike val="false"/>
            <color rgb="FF000000"/>
            <sz val="9"/>
            <u val="none"/>
          </rPr>
          <t xml:space="preserve">Administrator:</t>
        </r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
不含取消、未支付的和刷单的订单</t>
        </r>
      </text>
    </comment>
    <comment ref="W2" authorId="0">
      <text>
        <r>
          <rPr>
            <rFont val="宋体"/>
            <b val="true"/>
            <i val="false"/>
            <strike val="false"/>
            <color rgb="FF000000"/>
            <sz val="9"/>
            <u val="none"/>
          </rPr>
          <t xml:space="preserve">Administrator:</t>
        </r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
推荐费、交易费等</t>
        </r>
      </text>
    </comment>
    <comment ref="L3" authorId="0">
      <text>
        <r>
          <rPr>
            <rFont val="宋体"/>
            <b val="true"/>
            <i val="false"/>
            <strike val="false"/>
            <color rgb="FF000000"/>
            <sz val="9"/>
            <u val="none"/>
          </rPr>
          <t xml:space="preserve">Administrator:</t>
        </r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
零售送货费+税费+推荐费</t>
        </r>
      </text>
    </comment>
  </commentList>
</comments>
</file>

<file path=xl/sharedStrings.xml><?xml version="1.0" encoding="utf-8"?>
<sst xmlns="http://schemas.openxmlformats.org/spreadsheetml/2006/main" uniqueCount="103">
  <si>
    <t>Name</t>
  </si>
  <si>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</si>
  <si>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</si>
  <si>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</si>
  <si>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</si>
  <si>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</si>
  <si>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</si>
  <si>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</si>
  <si>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</si>
  <si>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</si>
  <si>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</si>
  <si>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</si>
  <si>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</si>
  <si>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</si>
  <si>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</si>
  <si>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</si>
  <si>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</si>
  <si>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</si>
  <si>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</si>
  <si>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</si>
  <si>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</si>
  <si>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Payment platform discount</t>
  </si>
  <si>
    <t>Taxes</t>
  </si>
  <si>
    <t>Small Order Fee</t>
  </si>
  <si>
    <t>Order Amount</t>
  </si>
  <si>
    <t>Order Refund Amount</t>
  </si>
  <si>
    <t>Cancel By</t>
  </si>
  <si>
    <t>Cancel Reason</t>
  </si>
  <si>
    <t>Fulfillment Type</t>
  </si>
  <si>
    <t>Delivery Option</t>
  </si>
  <si>
    <t>店铺</t>
  </si>
  <si>
    <t>订单状态分类</t>
  </si>
  <si>
    <t>订单&amp;SKUID</t>
  </si>
  <si>
    <t>订单日期</t>
  </si>
  <si>
    <t>支付日期</t>
  </si>
  <si>
    <t>RTS日期</t>
  </si>
  <si>
    <t>发货日期</t>
  </si>
  <si>
    <t>送达日期</t>
  </si>
  <si>
    <t>取消日期</t>
  </si>
  <si>
    <t>全部 笔订单-2026-05-27-08_32-HKKATHAI.xlsx</t>
  </si>
  <si>
    <t>582734504088536246</t>
  </si>
  <si>
    <t>已完成</t>
  </si>
  <si>
    <t>Normal</t>
  </si>
  <si>
    <t>1733883928337549243</t>
  </si>
  <si>
    <t>A01*3</t>
  </si>
  <si>
    <t>แพทช์บาลานซ์ HKKA เหมาะสำหรับทั้งผู้ชายและผู้หญิง แบบพกพา และเหมาะสำหรับใช้ในบ้าน</t>
  </si>
  <si>
    <t>แพ็กสุดคุ้ม 3 กล่อง (ตัวเลือกของผู้ใช้ 95%)</t>
  </si>
  <si>
    <t>Fulfillment by seller</t>
  </si>
  <si>
    <t>标准运输</t>
  </si>
  <si>
    <t>HKKATHAI</t>
  </si>
  <si>
    <t>已送达</t>
  </si>
  <si>
    <t>582734504088536246|1733883928337549243</t>
  </si>
  <si>
    <t>1733859607774332859</t>
  </si>
  <si>
    <t>A01</t>
  </si>
  <si>
    <t>【อัปเกรดใหม่】แผ่นแปะร้อนบริเวณหน้าท้อง HKKA แพ็ค 5 ชิ้น ปลอดภัยจากธรรมชาติ ปรับสมดุลการทำงานของหน้าท้อง ครอบคลุมพื้นที่กว้าง อัพเกรดสูตรให้ใช้งานสบายยิ่งขึ้น</t>
  </si>
  <si>
    <t>ชุดทดลอง 1 กล่อง (ลองรุ่นใหม่)</t>
  </si>
  <si>
    <t>582734504088536246|1733859607774332859</t>
  </si>
  <si>
    <t>1733738104130930619</t>
  </si>
  <si>
    <t>HKKA Balance Patch แผ่นประคบร้อน เหมาะสำหรับทั้งผู้ชายและผู้หญิง แบบพกพา และเหมาะสำหรับใช้ในบ้าน（สุ่มจัดส่ง 2 แบบบรรจุภัณฑ์）</t>
  </si>
  <si>
    <t>1 กล่อง</t>
  </si>
  <si>
    <t>582734504088536246|1733738104130930619</t>
  </si>
  <si>
    <t>1734380418815723451</t>
  </si>
  <si>
    <t>ของแถม: ลูกบอลโคลนหญ้าพิษนอท [แถม 5 เม็ดต่อกล่อง]</t>
  </si>
  <si>
    <t>1 กล่อง 5 เม็ด</t>
  </si>
  <si>
    <t>582734504088536246|1734380418815723451</t>
  </si>
  <si>
    <t>订单情况</t>
  </si>
  <si>
    <t>固定费用</t>
  </si>
  <si>
    <t>利润</t>
  </si>
  <si>
    <t>框返</t>
  </si>
  <si>
    <t>总利润</t>
  </si>
  <si>
    <t>店铺名称</t>
  </si>
  <si>
    <t>平台</t>
  </si>
  <si>
    <t>区域</t>
  </si>
  <si>
    <t>项目</t>
  </si>
  <si>
    <t>日期</t>
  </si>
  <si>
    <t>实际支付金额</t>
  </si>
  <si>
    <t>应支付金额</t>
  </si>
  <si>
    <t>应收金额</t>
  </si>
  <si>
    <t>退单金额</t>
  </si>
  <si>
    <t>刷单情况</t>
  </si>
  <si>
    <t>样品情况</t>
  </si>
  <si>
    <t>实际金额</t>
  </si>
  <si>
    <t>站内消耗</t>
  </si>
  <si>
    <t>纯收入</t>
  </si>
  <si>
    <t>下单单数</t>
  </si>
  <si>
    <t>物流费用</t>
  </si>
  <si>
    <t>达人佣金</t>
  </si>
  <si>
    <t>店铺费用</t>
  </si>
  <si>
    <t>成本</t>
  </si>
  <si>
    <t>房租、水电</t>
  </si>
  <si>
    <t>人工</t>
  </si>
  <si>
    <t>其他</t>
  </si>
  <si>
    <t>小计</t>
  </si>
  <si>
    <t>刷单金额</t>
  </si>
  <si>
    <t>佣金</t>
  </si>
  <si>
    <t>服务费</t>
  </si>
  <si>
    <t>平衡贴美国本土店铺</t>
  </si>
  <si>
    <t>TikTok</t>
  </si>
  <si>
    <t>美国</t>
  </si>
  <si>
    <t>美宠</t>
  </si>
  <si>
    <t>2026-06-22</t>
  </si>
  <si>
    <t>????API</t>
  </si>
  <si>
    <t>新指标</t>
  </si>
</sst>
</file>

<file path=xl/styles.xml><?xml version="1.0" encoding="utf-8"?>
<styleSheet xmlns="http://schemas.openxmlformats.org/spreadsheetml/2006/main" xml:space="preserve">
  <numFmts count="3">
    <numFmt numFmtId="164" formatCode="0.00_ "/>
    <numFmt numFmtId="165" formatCode="&quot;￥&quot;#,##0.00;[Red]&quot;￥&quot;\-#,##0.00"/>
    <numFmt numFmtId="166" formatCode="0.00_);[Red]\(0.00\)"/>
  </numFmts>
  <fonts count="4">
    <font>
      <b val="0"/>
      <i val="0"/>
      <strike val="0"/>
      <u val="none"/>
      <sz val="11"/>
      <color rgb="FF000000"/>
      <name val="宋体"/>
      <scheme val="minor"/>
    </font>
    <font>
      <b val="1"/>
      <i val="0"/>
      <strike val="0"/>
      <u val="none"/>
      <sz val="12"/>
      <color rgb="FF000000"/>
      <name val="宋体"/>
    </font>
    <font>
      <b val="1"/>
      <i val="0"/>
      <strike val="0"/>
      <u val="none"/>
      <sz val="11"/>
      <color rgb="FF000000"/>
      <name val="宋体"/>
    </font>
    <font>
      <b val="1"/>
      <i val="0"/>
      <strike val="0"/>
      <u val="none"/>
      <sz val="11"/>
      <color rgb="FF000000"/>
      <name val="宋体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164" fillId="0" borderId="1" applyFont="1" applyNumberFormat="1" applyFill="0" applyBorder="1" applyAlignment="1">
      <alignment horizontal="center" vertical="center" textRotation="0" wrapText="false" shrinkToFit="false"/>
    </xf>
    <xf xfId="0" fontId="1" numFmtId="164" fillId="0" borderId="1" applyFont="1" applyNumberFormat="1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164" fillId="0" borderId="1" applyFont="1" applyNumberFormat="1" applyFill="0" applyBorder="1" applyAlignment="1">
      <alignment horizontal="center" vertical="center" textRotation="0" wrapText="false" shrinkToFit="false"/>
    </xf>
    <xf xfId="0" fontId="2" numFmtId="165" fillId="0" borderId="1" applyFont="1" applyNumberFormat="1" applyFill="0" applyBorder="1" applyAlignment="1">
      <alignment horizontal="center" vertical="center" textRotation="0" wrapText="false" shrinkToFit="false"/>
    </xf>
    <xf xfId="0" fontId="2" numFmtId="165" fillId="0" borderId="1" applyFont="1" applyNumberFormat="1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166" fillId="0" borderId="1" applyFont="1" applyNumberFormat="1" applyFill="0" applyBorder="1" applyAlignment="1">
      <alignment horizontal="center" vertical="center" textRotation="0" wrapText="false" shrinkToFit="false"/>
    </xf>
    <xf xfId="0" fontId="2" numFmtId="164" fillId="0" borderId="4" applyFont="1" applyNumberFormat="1" applyFill="0" applyBorder="1" applyAlignment="1">
      <alignment horizontal="center" vertical="center" textRotation="0" wrapText="false" shrinkToFit="false"/>
    </xf>
    <xf xfId="0" fontId="3" numFmtId="166" fillId="0" borderId="1" applyFont="1" applyNumberFormat="1" applyFill="0" applyBorder="1" applyAlignment="1">
      <alignment horizontal="center" vertical="center" textRotation="0" wrapText="false" shrinkToFit="false"/>
    </xf>
    <xf xfId="0" fontId="2" numFmtId="164" fillId="0" borderId="5" applyFont="1" applyNumberFormat="1" applyFill="0" applyBorder="1" applyAlignment="1">
      <alignment horizontal="center" vertical="center" textRotation="0" wrapText="false" shrinkToFit="false"/>
    </xf>
    <xf xfId="0" fontId="0" numFmtId="49" fillId="0" borderId="0" applyFont="0" applyNumberFormat="1" applyFill="0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14" fillId="0" borderId="0" applyFont="0" applyNumberFormat="1" applyFill="0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vmlDrawing2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2.vml"/><Relationship Id="rId_comments1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8"/>
  <sheetViews>
    <sheetView tabSelected="0" workbookViewId="0" showGridLines="true" showRowColHeaders="1" topLeftCell="J1">
      <selection activeCell="L35" sqref="L35"/>
    </sheetView>
  </sheetViews>
  <sheetFormatPr defaultRowHeight="14.4" defaultColWidth="9" outlineLevelRow="0" outlineLevelCol="0"/>
  <cols>
    <col min="2" max="2" width="9" style="17"/>
    <col min="7" max="7" width="9" style="17"/>
    <col min="15" max="15" width="23.875" customWidth="true" style="18"/>
    <col min="17" max="17" width="30.508333333333" customWidth="true" style="18"/>
    <col min="22" max="22" width="17.875" customWidth="true" style="0"/>
    <col min="25" max="25" width="13.875" customWidth="true" style="18"/>
    <col min="34" max="34" width="10.508333333333" customWidth="true" style="0"/>
    <col min="35" max="35" width="10.508333333333" customWidth="true" style="0"/>
    <col min="36" max="36" width="10.508333333333" customWidth="true" style="0"/>
    <col min="37" max="37" width="10.508333333333" customWidth="true" style="0"/>
    <col min="38" max="38" width="10.508333333333" customWidth="true" style="0"/>
  </cols>
  <sheetData>
    <row r="1" spans="1:39">
      <c r="A1" t="s">
        <v>0</v>
      </c>
      <c r="B1" s="17" t="s">
        <v>1</v>
      </c>
      <c r="C1" t="s">
        <v>2</v>
      </c>
      <c r="D1" t="s">
        <v>3</v>
      </c>
      <c r="E1" t="s">
        <v>4</v>
      </c>
      <c r="F1" t="s">
        <v>5</v>
      </c>
      <c r="G1" s="17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8" t="s">
        <v>14</v>
      </c>
      <c r="P1" t="s">
        <v>15</v>
      </c>
      <c r="Q1" s="18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8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 s="17" t="s">
        <v>40</v>
      </c>
      <c r="C2" t="s">
        <v>41</v>
      </c>
      <c r="D2" t="s">
        <v>41</v>
      </c>
      <c r="F2" t="s">
        <v>42</v>
      </c>
      <c r="G2" s="17" t="s">
        <v>43</v>
      </c>
      <c r="H2" t="s">
        <v>44</v>
      </c>
      <c r="I2" t="s">
        <v>45</v>
      </c>
      <c r="J2" t="s">
        <v>46</v>
      </c>
      <c r="K2">
        <v>1</v>
      </c>
      <c r="L2">
        <v>0</v>
      </c>
      <c r="M2">
        <v>1199</v>
      </c>
      <c r="N2">
        <v>1199</v>
      </c>
      <c r="O2" s="18">
        <v>0</v>
      </c>
      <c r="P2">
        <v>610.01</v>
      </c>
      <c r="Q2" s="18">
        <v>588.99</v>
      </c>
      <c r="R2">
        <v>0</v>
      </c>
      <c r="S2">
        <v>31</v>
      </c>
      <c r="T2">
        <v>0</v>
      </c>
      <c r="U2">
        <v>31</v>
      </c>
      <c r="W2">
        <v>0</v>
      </c>
      <c r="Y2" s="18">
        <v>1177</v>
      </c>
      <c r="AC2" t="s">
        <v>47</v>
      </c>
      <c r="AD2" t="s">
        <v>48</v>
      </c>
      <c r="AE2" t="s">
        <v>49</v>
      </c>
      <c r="AF2" t="s">
        <v>50</v>
      </c>
      <c r="AG2" t="s">
        <v>51</v>
      </c>
      <c r="AH2" s="19">
        <v>46076</v>
      </c>
      <c r="AI2" s="19">
        <v>46076</v>
      </c>
      <c r="AJ2" s="19">
        <v>46076</v>
      </c>
      <c r="AK2" s="19">
        <v>46076</v>
      </c>
      <c r="AL2" s="19">
        <v>46077</v>
      </c>
    </row>
    <row r="3" spans="1:39">
      <c r="A3" t="s">
        <v>39</v>
      </c>
      <c r="B3" s="17" t="s">
        <v>40</v>
      </c>
      <c r="C3" t="s">
        <v>41</v>
      </c>
      <c r="D3" t="s">
        <v>41</v>
      </c>
      <c r="F3" t="s">
        <v>42</v>
      </c>
      <c r="G3" s="17" t="s">
        <v>52</v>
      </c>
      <c r="H3" t="s">
        <v>53</v>
      </c>
      <c r="I3" t="s">
        <v>54</v>
      </c>
      <c r="J3" t="s">
        <v>55</v>
      </c>
      <c r="K3">
        <v>1</v>
      </c>
      <c r="L3">
        <v>0</v>
      </c>
      <c r="M3">
        <v>599</v>
      </c>
      <c r="N3">
        <v>599</v>
      </c>
      <c r="O3" s="18">
        <v>0</v>
      </c>
      <c r="P3">
        <v>304.99</v>
      </c>
      <c r="Q3" s="18">
        <v>294.01</v>
      </c>
      <c r="R3">
        <v>0</v>
      </c>
      <c r="S3">
        <v>31</v>
      </c>
      <c r="T3">
        <v>0</v>
      </c>
      <c r="U3">
        <v>31</v>
      </c>
      <c r="W3">
        <v>0</v>
      </c>
      <c r="Y3" s="18">
        <v>1177</v>
      </c>
      <c r="AC3" t="s">
        <v>47</v>
      </c>
      <c r="AD3" t="s">
        <v>48</v>
      </c>
      <c r="AE3" t="s">
        <v>49</v>
      </c>
      <c r="AF3" t="s">
        <v>50</v>
      </c>
      <c r="AG3" t="s">
        <v>56</v>
      </c>
      <c r="AH3" s="19">
        <v>46076</v>
      </c>
      <c r="AI3" s="19">
        <v>46076</v>
      </c>
      <c r="AJ3" s="19">
        <v>46076</v>
      </c>
      <c r="AK3" s="19">
        <v>46076</v>
      </c>
      <c r="AL3" s="19">
        <v>46077</v>
      </c>
    </row>
    <row r="4" spans="1:39">
      <c r="A4" t="s">
        <v>39</v>
      </c>
      <c r="B4" s="17" t="s">
        <v>40</v>
      </c>
      <c r="C4" t="s">
        <v>41</v>
      </c>
      <c r="D4" t="s">
        <v>41</v>
      </c>
      <c r="F4" t="s">
        <v>42</v>
      </c>
      <c r="G4" s="17" t="s">
        <v>57</v>
      </c>
      <c r="H4" t="s">
        <v>53</v>
      </c>
      <c r="I4" t="s">
        <v>58</v>
      </c>
      <c r="J4" t="s">
        <v>59</v>
      </c>
      <c r="K4">
        <v>1</v>
      </c>
      <c r="L4">
        <v>0</v>
      </c>
      <c r="M4">
        <v>599</v>
      </c>
      <c r="N4">
        <v>599</v>
      </c>
      <c r="O4" s="18">
        <v>0</v>
      </c>
      <c r="P4">
        <v>305</v>
      </c>
      <c r="Q4" s="18">
        <v>294</v>
      </c>
      <c r="R4">
        <v>0</v>
      </c>
      <c r="S4">
        <v>31</v>
      </c>
      <c r="T4">
        <v>0</v>
      </c>
      <c r="U4">
        <v>31</v>
      </c>
      <c r="W4">
        <v>0</v>
      </c>
      <c r="Y4" s="18">
        <v>1177</v>
      </c>
      <c r="AC4" t="s">
        <v>47</v>
      </c>
      <c r="AD4" t="s">
        <v>48</v>
      </c>
      <c r="AE4" t="s">
        <v>49</v>
      </c>
      <c r="AF4" t="s">
        <v>50</v>
      </c>
      <c r="AG4" t="s">
        <v>60</v>
      </c>
      <c r="AH4" s="19">
        <v>46076</v>
      </c>
      <c r="AI4" s="19">
        <v>46076</v>
      </c>
      <c r="AJ4" s="19">
        <v>46076</v>
      </c>
      <c r="AK4" s="19">
        <v>46076</v>
      </c>
      <c r="AL4" s="19">
        <v>46077</v>
      </c>
    </row>
    <row r="5" spans="1:39">
      <c r="A5" t="s">
        <v>39</v>
      </c>
      <c r="B5" s="17" t="s">
        <v>40</v>
      </c>
      <c r="C5" t="s">
        <v>41</v>
      </c>
      <c r="D5" t="s">
        <v>41</v>
      </c>
      <c r="F5" t="s">
        <v>42</v>
      </c>
      <c r="G5" s="17" t="s">
        <v>61</v>
      </c>
      <c r="I5" t="s">
        <v>62</v>
      </c>
      <c r="J5" t="s">
        <v>63</v>
      </c>
      <c r="K5">
        <v>1</v>
      </c>
      <c r="L5">
        <v>0</v>
      </c>
      <c r="M5">
        <v>0</v>
      </c>
      <c r="N5">
        <v>0</v>
      </c>
      <c r="O5" s="18">
        <v>0</v>
      </c>
      <c r="P5">
        <v>0</v>
      </c>
      <c r="Q5" s="18">
        <v>0</v>
      </c>
      <c r="R5">
        <v>0</v>
      </c>
      <c r="S5">
        <v>31</v>
      </c>
      <c r="T5">
        <v>0</v>
      </c>
      <c r="U5">
        <v>31</v>
      </c>
      <c r="W5">
        <v>0</v>
      </c>
      <c r="Y5" s="18">
        <v>1177</v>
      </c>
      <c r="AC5" t="s">
        <v>47</v>
      </c>
      <c r="AD5" t="s">
        <v>48</v>
      </c>
      <c r="AE5" t="s">
        <v>49</v>
      </c>
      <c r="AF5" t="s">
        <v>50</v>
      </c>
      <c r="AG5" t="s">
        <v>64</v>
      </c>
      <c r="AH5" s="19">
        <v>46076</v>
      </c>
      <c r="AI5" s="19">
        <v>46076</v>
      </c>
      <c r="AJ5" s="19">
        <v>46076</v>
      </c>
      <c r="AK5" s="19">
        <v>46076</v>
      </c>
      <c r="AL5" s="19">
        <v>46077</v>
      </c>
    </row>
    <row r="8" spans="1:39">
      <c r="O8" s="18">
        <f>SUM(O2:O7)</f>
        <v>0</v>
      </c>
      <c r="Q8" s="18">
        <f>SUM(Q2:Q7)</f>
        <v>1177</v>
      </c>
      <c r="Y8" s="18">
        <f>Q8+O8</f>
        <v>1177</v>
      </c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4"/>
  <sheetViews>
    <sheetView tabSelected="1" workbookViewId="0" showGridLines="true" showRowColHeaders="1">
      <selection activeCell="AE3" sqref="AE3"/>
    </sheetView>
  </sheetViews>
  <sheetFormatPr defaultRowHeight="14.4" defaultColWidth="9" outlineLevelRow="0" outlineLevelCol="0"/>
  <cols>
    <col min="6" max="6" width="40.025" customWidth="true" style="0"/>
    <col min="7" max="7" width="11.875" customWidth="true" style="0"/>
    <col min="8" max="8" width="9.75" customWidth="true" style="0"/>
    <col min="9" max="9" width="9.75" customWidth="true" style="0"/>
    <col min="15" max="15" width="9.25" customWidth="true" style="0"/>
    <col min="16" max="16" width="9.25" customWidth="true" style="0"/>
    <col min="25" max="25" width="11.875" customWidth="true" style="0"/>
  </cols>
  <sheetData>
    <row r="1" spans="1:33" customHeight="1" ht="27" s="1" customFormat="1">
      <c r="E1" s="3" t="s">
        <v>65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 t="s">
        <v>66</v>
      </c>
      <c r="Z1" s="3"/>
      <c r="AA1" s="4"/>
      <c r="AB1" s="4"/>
      <c r="AC1" s="5" t="s">
        <v>67</v>
      </c>
      <c r="AD1" s="6" t="s">
        <v>68</v>
      </c>
      <c r="AE1" s="5" t="s">
        <v>69</v>
      </c>
    </row>
    <row r="2" spans="1:33" customHeight="1" ht="21.95" s="2" customFormat="1">
      <c r="A2" s="2" t="s">
        <v>70</v>
      </c>
      <c r="B2" s="2" t="s">
        <v>71</v>
      </c>
      <c r="C2" s="2" t="s">
        <v>72</v>
      </c>
      <c r="D2" s="2" t="s">
        <v>73</v>
      </c>
      <c r="E2" s="7" t="s">
        <v>74</v>
      </c>
      <c r="F2" s="8" t="s">
        <v>75</v>
      </c>
      <c r="G2" s="9" t="s">
        <v>76</v>
      </c>
      <c r="H2" s="10" t="s">
        <v>77</v>
      </c>
      <c r="I2" s="7" t="s">
        <v>78</v>
      </c>
      <c r="J2" s="7" t="s">
        <v>79</v>
      </c>
      <c r="K2" s="7"/>
      <c r="L2" s="7"/>
      <c r="M2" s="7"/>
      <c r="N2" s="7"/>
      <c r="O2" s="11" t="s">
        <v>80</v>
      </c>
      <c r="P2" s="12"/>
      <c r="Q2" s="7" t="s">
        <v>81</v>
      </c>
      <c r="R2" s="9" t="s">
        <v>82</v>
      </c>
      <c r="S2" s="7" t="s">
        <v>83</v>
      </c>
      <c r="T2" s="7" t="s">
        <v>84</v>
      </c>
      <c r="U2" s="7" t="s">
        <v>85</v>
      </c>
      <c r="V2" s="7" t="s">
        <v>86</v>
      </c>
      <c r="W2" s="7" t="s">
        <v>87</v>
      </c>
      <c r="X2" s="13" t="s">
        <v>88</v>
      </c>
      <c r="Y2" s="7" t="s">
        <v>89</v>
      </c>
      <c r="Z2" s="7" t="s">
        <v>90</v>
      </c>
      <c r="AA2" s="14" t="s">
        <v>91</v>
      </c>
      <c r="AB2" s="8" t="s">
        <v>92</v>
      </c>
      <c r="AC2" s="7"/>
      <c r="AD2" s="12"/>
      <c r="AE2" s="7"/>
    </row>
    <row r="3" spans="1:33" customHeight="1" ht="21.95" s="2" customFormat="1">
      <c r="E3" s="7"/>
      <c r="F3" s="8"/>
      <c r="G3" s="9"/>
      <c r="H3" s="9"/>
      <c r="I3" s="7"/>
      <c r="J3" s="15" t="s">
        <v>93</v>
      </c>
      <c r="K3" s="15" t="s">
        <v>94</v>
      </c>
      <c r="L3" s="15" t="s">
        <v>95</v>
      </c>
      <c r="M3" s="15" t="s">
        <v>85</v>
      </c>
      <c r="N3" s="15" t="s">
        <v>88</v>
      </c>
      <c r="O3" s="15" t="s">
        <v>85</v>
      </c>
      <c r="P3" s="15" t="s">
        <v>88</v>
      </c>
      <c r="Q3" s="7"/>
      <c r="R3" s="9"/>
      <c r="S3" s="7"/>
      <c r="T3" s="7"/>
      <c r="U3" s="7"/>
      <c r="V3" s="7"/>
      <c r="W3" s="7"/>
      <c r="X3" s="13"/>
      <c r="Y3" s="7"/>
      <c r="Z3" s="7"/>
      <c r="AA3" s="16"/>
      <c r="AB3" s="8"/>
      <c r="AC3" s="7"/>
      <c r="AD3" s="12"/>
      <c r="AE3" s="7"/>
      <c r="AF3" s="7" t="s">
        <v>101</v>
      </c>
      <c r="AG3" s="7" t="s">
        <v>102</v>
      </c>
    </row>
    <row r="4" spans="1:33" customHeight="1" ht="21.95">
      <c r="A4" t="s">
        <v>96</v>
      </c>
      <c r="B4" t="s">
        <v>97</v>
      </c>
      <c r="C4" t="s">
        <v>98</v>
      </c>
      <c r="D4" t="s">
        <v>99</v>
      </c>
      <c r="E4" s="7" t="s">
        <v>100</v>
      </c>
      <c r="F4" s="8">
        <v>6465.23</v>
      </c>
      <c r="G4" s="9">
        <v>6961.01</v>
      </c>
      <c r="H4" s="9">
        <v>6410.39</v>
      </c>
      <c r="I4" s="7">
        <v>37.85</v>
      </c>
      <c r="J4" s="15">
        <v>100.0</v>
      </c>
      <c r="K4" s="15">
        <v>10.0</v>
      </c>
      <c r="L4" s="15">
        <v>5.0</v>
      </c>
      <c r="M4" s="15">
        <v>8.0</v>
      </c>
      <c r="N4" s="15">
        <v>50.0</v>
      </c>
      <c r="O4" s="15">
        <v>0.0</v>
      </c>
      <c r="P4" s="15">
        <v>0.0</v>
      </c>
      <c r="Q4" s="7"/>
      <c r="R4" s="9">
        <v>0.0</v>
      </c>
      <c r="S4" s="7"/>
      <c r="T4" s="7">
        <v>237.0</v>
      </c>
      <c r="U4" s="7">
        <v>0.0</v>
      </c>
      <c r="V4" s="7">
        <v>652.48</v>
      </c>
      <c r="W4" s="7">
        <v>0.0</v>
      </c>
      <c r="X4" s="13">
        <v>0.0</v>
      </c>
      <c r="Y4" s="7"/>
      <c r="Z4" s="7"/>
      <c r="AA4" s="16"/>
      <c r="AB4" s="8">
        <v>0.0</v>
      </c>
      <c r="AC4" s="7"/>
      <c r="AD4" s="12">
        <v>0.0</v>
      </c>
      <c r="AE4" s="7"/>
      <c r="AF4">
        <v>0.0</v>
      </c>
      <c r="AG4">
        <v>0.0</v>
      </c>
    </row>
  </sheetData>
  <mergeCells>
    <mergeCell ref="E1:X1"/>
    <mergeCell ref="Y1:AB1"/>
    <mergeCell ref="J2:N2"/>
    <mergeCell ref="O2:P2"/>
    <mergeCell ref="E2:E3"/>
    <mergeCell ref="F2:F3"/>
    <mergeCell ref="G2:G3"/>
    <mergeCell ref="H2:H3"/>
    <mergeCell ref="I2:I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1:AC3"/>
    <mergeCell ref="AD1:AD3"/>
    <mergeCell ref="AE1:AE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9" orientation="portrai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9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ben</cp:lastModifiedBy>
  <dcterms:created xsi:type="dcterms:W3CDTF">2023-05-12T11:15:00+00:00</dcterms:created>
  <dcterms:modified xsi:type="dcterms:W3CDTF">2026-06-25T08:02:34+00:00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7A0C0462CF9644AC809C2F26AF4E6770_13</vt:lpwstr>
  </property>
  <property fmtid="{D5CDD505-2E9C-101B-9397-08002B2CF9AE}" pid="4" name="CalculationRule">
    <vt:i4>0</vt:i4>
  </property>
</Properties>
</file>